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nginx\html\sistema_biometrico\"/>
    </mc:Choice>
  </mc:AlternateContent>
  <xr:revisionPtr revIDLastSave="0" documentId="13_ncr:1_{AC49C689-38E6-4F10-94F3-D0B4D3D38E65}" xr6:coauthVersionLast="47" xr6:coauthVersionMax="47" xr10:uidLastSave="{00000000-0000-0000-0000-000000000000}"/>
  <bookViews>
    <workbookView xWindow="-120" yWindow="-120" windowWidth="29040" windowHeight="15720" activeTab="1" xr2:uid="{6B799595-6D72-4FCA-B204-6C9DD8A32EB4}"/>
  </bookViews>
  <sheets>
    <sheet name="tabla" sheetId="1" r:id="rId1"/>
    <sheet name="verific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2" l="1"/>
  <c r="T4" i="2"/>
  <c r="C2" i="2"/>
  <c r="C4" i="2" s="1"/>
  <c r="D2" i="2"/>
  <c r="E2" i="2"/>
  <c r="F2" i="2"/>
  <c r="G2" i="2"/>
  <c r="H2" i="2"/>
  <c r="I2" i="2"/>
  <c r="J2" i="2"/>
  <c r="K2" i="2"/>
  <c r="L2" i="2"/>
  <c r="L4" i="2" s="1"/>
  <c r="M2" i="2"/>
  <c r="M4" i="2" s="1"/>
  <c r="N2" i="2"/>
  <c r="N4" i="2" s="1"/>
  <c r="O2" i="2"/>
  <c r="O4" i="2" s="1"/>
  <c r="P2" i="2"/>
  <c r="Q2" i="2"/>
  <c r="R2" i="2"/>
  <c r="S2" i="2"/>
  <c r="B2" i="2"/>
  <c r="B4" i="2" s="1"/>
  <c r="D4" i="2"/>
  <c r="E4" i="2"/>
  <c r="F4" i="2"/>
  <c r="I4" i="2"/>
  <c r="J4" i="2"/>
  <c r="K4" i="2"/>
  <c r="G4" i="2"/>
  <c r="H4" i="2"/>
  <c r="P4" i="2"/>
  <c r="Q4" i="2"/>
  <c r="R4" i="2"/>
</calcChain>
</file>

<file path=xl/sharedStrings.xml><?xml version="1.0" encoding="utf-8"?>
<sst xmlns="http://schemas.openxmlformats.org/spreadsheetml/2006/main" count="44" uniqueCount="33">
  <si>
    <t>CARÁCTER</t>
  </si>
  <si>
    <t>VALOR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</si>
  <si>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</si>
  <si>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</si>
  <si>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</si>
  <si>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</si>
  <si>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</si>
  <si>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</si>
  <si>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</si>
  <si>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</si>
  <si>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</si>
  <si>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</si>
  <si>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</si>
  <si>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</si>
  <si>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</si>
  <si>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</si>
  <si>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</si>
  <si>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</si>
  <si>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</si>
  <si>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</si>
  <si>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</si>
  <si>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</si>
  <si>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</si>
  <si>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</si>
  <si>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</si>
  <si>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</si>
  <si>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</si>
  <si>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</si>
  <si>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</si>
  <si>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CURP</t>
  </si>
  <si>
    <t>Multiplicador</t>
  </si>
  <si>
    <t>Suma</t>
  </si>
  <si>
    <t>No verificador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</si>
</sst>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6F02-FE33-407D-8422-89D203F8B246}">
  <dimension ref="A1:AL2"/>
  <sheetViews>
    <sheetView workbookViewId="0">
      <selection activeCell="U11" sqref="U11"/>
    </sheetView>
  </sheetViews>
  <sheetFormatPr baseColWidth="10" defaultRowHeight="15" x14ac:dyDescent="0.25"/>
  <cols>
    <col min="1" max="1" width="9.85546875" bestFit="1" customWidth="1"/>
    <col min="2" max="11" width="2" bestFit="1" customWidth="1"/>
    <col min="12" max="38" width="3" bestFit="1" customWidth="1"/>
  </cols>
  <sheetData>
    <row r="1" spans="1:38" x14ac:dyDescent="0.25">
      <c r="A1" s="2" t="s">
        <v>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 t="s">
        <v>2</v>
      </c>
      <c r="M1" s="4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  <c r="AH1" s="4" t="s">
        <v>24</v>
      </c>
      <c r="AI1" s="4" t="s">
        <v>25</v>
      </c>
      <c r="AJ1" s="4" t="s">
        <v>26</v>
      </c>
      <c r="AK1" s="4" t="s">
        <v>27</v>
      </c>
      <c r="AL1" s="4" t="s">
        <v>28</v>
      </c>
    </row>
    <row r="2" spans="1:38" x14ac:dyDescent="0.25">
      <c r="A2" s="2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5447-0820-4B15-B155-10E31FCE79A2}">
  <dimension ref="A1:AJ9"/>
  <sheetViews>
    <sheetView tabSelected="1" workbookViewId="0">
      <selection activeCell="H8" sqref="H8"/>
    </sheetView>
  </sheetViews>
  <sheetFormatPr baseColWidth="10" defaultRowHeight="15" x14ac:dyDescent="0.25"/>
  <cols>
    <col min="1" max="1" width="15" bestFit="1" customWidth="1"/>
    <col min="2" max="5" width="4" bestFit="1" customWidth="1"/>
    <col min="6" max="11" width="5.42578125" bestFit="1" customWidth="1"/>
    <col min="12" max="12" width="4" bestFit="1" customWidth="1"/>
    <col min="13" max="14" width="3" bestFit="1" customWidth="1"/>
    <col min="15" max="16" width="4" bestFit="1" customWidth="1"/>
    <col min="17" max="17" width="3" bestFit="1" customWidth="1"/>
    <col min="18" max="19" width="5.42578125" bestFit="1" customWidth="1"/>
    <col min="20" max="20" width="5" bestFit="1" customWidth="1"/>
    <col min="21" max="21" width="13.42578125" bestFit="1" customWidth="1"/>
    <col min="36" max="36" width="2" bestFit="1" customWidth="1"/>
  </cols>
  <sheetData>
    <row r="1" spans="1:36" x14ac:dyDescent="0.25">
      <c r="A1" s="5" t="s">
        <v>29</v>
      </c>
      <c r="B1" s="6" t="s">
        <v>14</v>
      </c>
      <c r="C1" s="6" t="s">
        <v>6</v>
      </c>
      <c r="D1" s="6" t="s">
        <v>19</v>
      </c>
      <c r="E1" s="6" t="s">
        <v>11</v>
      </c>
      <c r="F1" s="6">
        <v>1</v>
      </c>
      <c r="G1" s="6">
        <v>3</v>
      </c>
      <c r="H1" s="6">
        <v>0</v>
      </c>
      <c r="I1" s="6">
        <v>4</v>
      </c>
      <c r="J1" s="6">
        <v>0</v>
      </c>
      <c r="K1" s="6">
        <v>3</v>
      </c>
      <c r="L1" s="6" t="s">
        <v>9</v>
      </c>
      <c r="M1" s="6" t="s">
        <v>5</v>
      </c>
      <c r="N1" s="6" t="s">
        <v>7</v>
      </c>
      <c r="O1" s="6" t="s">
        <v>15</v>
      </c>
      <c r="P1" s="6" t="s">
        <v>20</v>
      </c>
      <c r="Q1" s="6" t="s">
        <v>20</v>
      </c>
      <c r="R1" s="6">
        <v>0</v>
      </c>
      <c r="S1" s="6">
        <v>3</v>
      </c>
    </row>
    <row r="2" spans="1:36" x14ac:dyDescent="0.25">
      <c r="A2" s="5" t="s">
        <v>1</v>
      </c>
      <c r="B2">
        <f>HLOOKUP(B1,tabla!$B$1:$AL$2,2,0)</f>
        <v>22</v>
      </c>
      <c r="C2">
        <f>HLOOKUP(C1,tabla!$B$1:$AL$2,2,0)</f>
        <v>14</v>
      </c>
      <c r="D2">
        <f>HLOOKUP(D1,tabla!$B$1:$AL$2,2,0)</f>
        <v>27</v>
      </c>
      <c r="E2">
        <f>HLOOKUP(E1,tabla!$B$1:$AL$2,2,0)</f>
        <v>19</v>
      </c>
      <c r="F2">
        <f>HLOOKUP(F1,tabla!$B$1:$AL$2,2,0)</f>
        <v>1</v>
      </c>
      <c r="G2">
        <f>HLOOKUP(G1,tabla!$B$1:$AL$2,2,0)</f>
        <v>3</v>
      </c>
      <c r="H2">
        <f>HLOOKUP(H1,tabla!$B$1:$AL$2,2,0)</f>
        <v>0</v>
      </c>
      <c r="I2">
        <f>HLOOKUP(I1,tabla!$B$1:$AL$2,2,0)</f>
        <v>4</v>
      </c>
      <c r="J2">
        <f>HLOOKUP(J1,tabla!$B$1:$AL$2,2,0)</f>
        <v>0</v>
      </c>
      <c r="K2">
        <f>HLOOKUP(K1,tabla!$B$1:$AL$2,2,0)</f>
        <v>3</v>
      </c>
      <c r="L2">
        <f>HLOOKUP(L1,tabla!$B$1:$AL$2,2,0)</f>
        <v>17</v>
      </c>
      <c r="M2">
        <f>HLOOKUP(M1,tabla!$B$1:$AL$2,2,0)</f>
        <v>13</v>
      </c>
      <c r="N2">
        <f>HLOOKUP(N1,tabla!$B$1:$AL$2,2,0)</f>
        <v>15</v>
      </c>
      <c r="O2">
        <f>HLOOKUP(O1,tabla!$B$1:$AL$2,2,0)</f>
        <v>23</v>
      </c>
      <c r="P2">
        <f>HLOOKUP(P1,tabla!$B$1:$AL$2,2,0)</f>
        <v>28</v>
      </c>
      <c r="Q2">
        <f>HLOOKUP(Q1,tabla!$B$1:$AL$2,2,0)</f>
        <v>28</v>
      </c>
      <c r="R2">
        <f>HLOOKUP(R1,tabla!$B$1:$AL$2,2,0)</f>
        <v>0</v>
      </c>
      <c r="S2">
        <f>HLOOKUP(S1,tabla!$B$1:$AL$2,2,0)</f>
        <v>3</v>
      </c>
      <c r="AJ2">
        <v>1</v>
      </c>
    </row>
    <row r="3" spans="1:36" x14ac:dyDescent="0.25">
      <c r="A3" s="5" t="s">
        <v>30</v>
      </c>
      <c r="B3">
        <v>18</v>
      </c>
      <c r="C3">
        <v>17</v>
      </c>
      <c r="D3">
        <v>16</v>
      </c>
      <c r="E3">
        <v>15</v>
      </c>
      <c r="F3">
        <v>14</v>
      </c>
      <c r="G3">
        <v>13</v>
      </c>
      <c r="H3">
        <v>12</v>
      </c>
      <c r="I3">
        <v>11</v>
      </c>
      <c r="J3">
        <v>10</v>
      </c>
      <c r="K3">
        <v>9</v>
      </c>
      <c r="L3">
        <v>8</v>
      </c>
      <c r="M3">
        <v>7</v>
      </c>
      <c r="N3">
        <v>6</v>
      </c>
      <c r="O3">
        <v>5</v>
      </c>
      <c r="P3">
        <v>4</v>
      </c>
      <c r="Q3">
        <v>3</v>
      </c>
      <c r="R3">
        <v>2</v>
      </c>
      <c r="S3">
        <v>1</v>
      </c>
      <c r="U3" t="s">
        <v>32</v>
      </c>
    </row>
    <row r="4" spans="1:36" x14ac:dyDescent="0.25">
      <c r="A4" s="5" t="s">
        <v>31</v>
      </c>
      <c r="B4">
        <f>B2*B3</f>
        <v>396</v>
      </c>
      <c r="C4">
        <f t="shared" ref="C4:R4" si="0">C2*C3</f>
        <v>238</v>
      </c>
      <c r="D4">
        <f t="shared" si="0"/>
        <v>432</v>
      </c>
      <c r="E4">
        <f t="shared" si="0"/>
        <v>285</v>
      </c>
      <c r="F4">
        <f t="shared" si="0"/>
        <v>14</v>
      </c>
      <c r="G4">
        <f t="shared" si="0"/>
        <v>39</v>
      </c>
      <c r="H4">
        <f t="shared" si="0"/>
        <v>0</v>
      </c>
      <c r="I4">
        <f t="shared" si="0"/>
        <v>44</v>
      </c>
      <c r="J4">
        <f t="shared" si="0"/>
        <v>0</v>
      </c>
      <c r="K4">
        <f t="shared" si="0"/>
        <v>27</v>
      </c>
      <c r="L4">
        <f t="shared" si="0"/>
        <v>136</v>
      </c>
      <c r="M4">
        <f t="shared" si="0"/>
        <v>91</v>
      </c>
      <c r="N4">
        <f t="shared" si="0"/>
        <v>90</v>
      </c>
      <c r="O4">
        <f t="shared" si="0"/>
        <v>115</v>
      </c>
      <c r="P4">
        <f t="shared" si="0"/>
        <v>112</v>
      </c>
      <c r="Q4">
        <f t="shared" si="0"/>
        <v>84</v>
      </c>
      <c r="R4">
        <f t="shared" si="0"/>
        <v>0</v>
      </c>
      <c r="T4">
        <f>SUM(B4:R4)</f>
        <v>2103</v>
      </c>
      <c r="U4">
        <f>MOD(T4,10)</f>
        <v>3</v>
      </c>
    </row>
    <row r="9" spans="1:36" x14ac:dyDescent="0.25">
      <c r="B9" s="3"/>
      <c r="C9" s="3"/>
      <c r="D9" s="3"/>
      <c r="E9" s="3"/>
      <c r="F9" s="3"/>
      <c r="G9" s="3"/>
      <c r="H9" s="3"/>
      <c r="I9" s="3"/>
      <c r="J9" s="3"/>
      <c r="K9" s="3"/>
      <c r="N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verificador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Phye Parga</dc:creator>
  <cp:lastModifiedBy>Edgar Phye Parga</cp:lastModifiedBy>
  <dcterms:created xsi:type="dcterms:W3CDTF">2026-02-20T17:05:13Z</dcterms:created>
  <dcterms:modified xsi:type="dcterms:W3CDTF">2026-02-25T18:05:56Z</dcterms:modified>
</cp:coreProperties>
</file>